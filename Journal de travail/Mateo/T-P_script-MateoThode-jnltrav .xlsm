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theme/theme1.xml" ContentType="application/vnd.openxmlformats-officedocument.theme+xml"/>
  <Override PartName="/xl/drawings/drawing4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activeX/activeX5.bin" ContentType="application/vnd.ms-office.activeX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4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s\P_script-122\PROJET\"/>
    </mc:Choice>
  </mc:AlternateContent>
  <xr:revisionPtr revIDLastSave="0" documentId="13_ncr:1_{47485626-EFFA-4DBF-9E42-D2C31D708CED}" xr6:coauthVersionLast="47" xr6:coauthVersionMax="47" xr10:uidLastSave="{00000000-0000-0000-0000-000000000000}"/>
  <bookViews>
    <workbookView xWindow="14400" yWindow="0" windowWidth="14400" windowHeight="15600" activeTab="6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8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9" l="1"/>
  <c r="B15" i="159"/>
  <c r="B13" i="159"/>
  <c r="B11" i="159"/>
  <c r="B9" i="159"/>
  <c r="B7" i="159"/>
  <c r="B5" i="159"/>
  <c r="C20" i="159"/>
  <c r="C19" i="159"/>
  <c r="D20" i="158"/>
  <c r="D39" i="158" s="1"/>
  <c r="D58" i="158" s="1"/>
  <c r="D77" i="158" s="1"/>
  <c r="D96" i="158" s="1"/>
  <c r="D115" i="158" s="1"/>
  <c r="D134" i="158" s="1"/>
  <c r="D1" i="158"/>
  <c r="B151" i="158"/>
  <c r="B132" i="158"/>
  <c r="B113" i="158"/>
  <c r="B94" i="158"/>
  <c r="B75" i="158"/>
  <c r="B56" i="158"/>
  <c r="B37" i="158"/>
  <c r="B18" i="158"/>
  <c r="B18" i="154"/>
  <c r="B13" i="11" l="1"/>
</calcChain>
</file>

<file path=xl/sharedStrings.xml><?xml version="1.0" encoding="utf-8"?>
<sst xmlns="http://schemas.openxmlformats.org/spreadsheetml/2006/main" count="135" uniqueCount="52">
  <si>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</si>
  <si>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</si>
  <si>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</si>
  <si>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</si>
  <si>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</si>
  <si>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</si>
  <si>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</si>
  <si>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</si>
  <si>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</si>
  <si>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</si>
  <si>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</si>
  <si>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</si>
  <si>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</si>
  <si>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</si>
  <si>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</si>
  <si>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</si>
  <si>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</si>
  <si>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</si>
  <si>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</si>
  <si>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</si>
  <si>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</si>
  <si>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</si>
  <si>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</si>
  <si>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</si>
  <si>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Projet-122-Powershell</t>
  </si>
  <si>
    <t>Mateo Thode</t>
  </si>
  <si>
    <t>MIN1A</t>
  </si>
  <si>
    <t>ETML-Vennes</t>
  </si>
  <si>
    <t>Journal de travail</t>
  </si>
  <si>
    <t>Rapport</t>
  </si>
  <si>
    <t>Max. 12</t>
  </si>
  <si>
    <t>STOP</t>
  </si>
  <si>
    <t>Séance</t>
  </si>
  <si>
    <t>Sprint review</t>
  </si>
  <si>
    <t>Codage</t>
  </si>
  <si>
    <t>Test</t>
  </si>
  <si>
    <t>Aide au groupe</t>
  </si>
  <si>
    <t>S 1</t>
  </si>
  <si>
    <t>S 2</t>
  </si>
  <si>
    <t>S 3</t>
  </si>
  <si>
    <t>S 4</t>
  </si>
  <si>
    <t>S 5</t>
  </si>
  <si>
    <t>S 6</t>
  </si>
  <si>
    <t>S 7</t>
  </si>
  <si>
    <t>S 8</t>
  </si>
  <si>
    <t xml:space="preserve">Création et mise en place du document </t>
  </si>
  <si>
    <t>Daily standup - répartission du travail</t>
  </si>
  <si>
    <t>Documentation</t>
  </si>
  <si>
    <t>Recherches et lectures pour trouver les commandes nécéssaires</t>
  </si>
  <si>
    <t>Test des commandes trouvées pendant les recherches, les résultats ne sont pas satisfaisants.</t>
  </si>
  <si>
    <t>Nommage des tâches sur AzurDevOps.</t>
  </si>
  <si>
    <t>Mise à jour du 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</si>
</sst>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A30B9136-BE93-4FE8-9CB8-ABAF82BB2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3" zoomScale="85" zoomScaleNormal="100" zoomScaleSheetLayoutView="85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45397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0" t="s">
        <v>19</v>
      </c>
      <c r="C19" s="9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357AD-85B5-4789-8358-E6C7617BD9F7}">
  <sheetPr codeName="Feuil7"/>
  <dimension ref="A1:CU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99" ht="14.25" thickBot="1" x14ac:dyDescent="0.3">
      <c r="B1" s="95"/>
      <c r="C1" s="95"/>
    </row>
    <row r="2" spans="1:99" ht="42.75" customHeight="1" thickBot="1" x14ac:dyDescent="0.3">
      <c r="A2" s="96"/>
      <c r="B2" s="23" t="s">
        <v>5</v>
      </c>
      <c r="C2" s="15" t="s">
        <v>18</v>
      </c>
      <c r="D2" s="97" t="s">
        <v>37</v>
      </c>
      <c r="E2" s="98"/>
      <c r="F2" s="98"/>
      <c r="G2" s="98"/>
      <c r="H2" s="98"/>
      <c r="I2" s="98"/>
      <c r="J2" s="98"/>
      <c r="K2" s="98"/>
      <c r="L2" s="98"/>
      <c r="M2" s="98"/>
      <c r="N2" s="98"/>
      <c r="O2" s="99"/>
      <c r="P2" s="97" t="s">
        <v>38</v>
      </c>
      <c r="Q2" s="98"/>
      <c r="R2" s="98"/>
      <c r="S2" s="98"/>
      <c r="T2" s="98"/>
      <c r="U2" s="98"/>
      <c r="V2" s="98"/>
      <c r="W2" s="98"/>
      <c r="X2" s="98"/>
      <c r="Y2" s="98"/>
      <c r="Z2" s="98"/>
      <c r="AA2" s="99"/>
      <c r="AB2" s="97" t="s">
        <v>39</v>
      </c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9"/>
      <c r="AN2" s="97" t="s">
        <v>40</v>
      </c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9"/>
      <c r="AZ2" s="97" t="s">
        <v>41</v>
      </c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9"/>
      <c r="BL2" s="97" t="s">
        <v>42</v>
      </c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9"/>
      <c r="BX2" s="97" t="s">
        <v>43</v>
      </c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9"/>
      <c r="CJ2" s="97" t="s">
        <v>44</v>
      </c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9"/>
    </row>
    <row r="3" spans="1:99" ht="19.5" customHeight="1" x14ac:dyDescent="0.25">
      <c r="A3" s="96"/>
      <c r="B3" s="92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4"/>
      <c r="P3" s="100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4"/>
      <c r="AB3" s="100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4"/>
      <c r="AN3" s="100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4"/>
      <c r="AZ3" s="100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4"/>
      <c r="BX3" s="100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4"/>
      <c r="CJ3" s="100"/>
      <c r="CK3" s="101"/>
      <c r="CL3" s="102"/>
      <c r="CM3" s="103"/>
      <c r="CN3" s="101"/>
      <c r="CO3" s="102"/>
      <c r="CP3" s="103"/>
      <c r="CQ3" s="101"/>
      <c r="CR3" s="102"/>
      <c r="CS3" s="103"/>
      <c r="CT3" s="101"/>
      <c r="CU3" s="104"/>
    </row>
    <row r="4" spans="1:99" ht="19.5" customHeight="1" thickBot="1" x14ac:dyDescent="0.3">
      <c r="A4" s="96"/>
      <c r="B4" s="105"/>
      <c r="C4" s="22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10"/>
      <c r="P4" s="106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10"/>
      <c r="AB4" s="106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10"/>
      <c r="AN4" s="106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10"/>
      <c r="AZ4" s="106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10"/>
      <c r="BL4" s="106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10"/>
      <c r="BX4" s="106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10"/>
      <c r="CJ4" s="106"/>
      <c r="CK4" s="107"/>
      <c r="CL4" s="108"/>
      <c r="CM4" s="109"/>
      <c r="CN4" s="107"/>
      <c r="CO4" s="108"/>
      <c r="CP4" s="109"/>
      <c r="CQ4" s="107"/>
      <c r="CR4" s="108"/>
      <c r="CS4" s="109"/>
      <c r="CT4" s="107"/>
      <c r="CU4" s="110"/>
    </row>
    <row r="5" spans="1:99" ht="19.5" customHeight="1" x14ac:dyDescent="0.25">
      <c r="B5" s="111" t="str">
        <f>Donnees!$C$21</f>
        <v>Journal de travail</v>
      </c>
      <c r="C5" s="112">
        <v>0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4"/>
      <c r="P5" s="100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4"/>
      <c r="AB5" s="100"/>
      <c r="AC5" s="101"/>
      <c r="AD5" s="102"/>
      <c r="AE5" s="103"/>
      <c r="AF5" s="101"/>
      <c r="AG5" s="102"/>
      <c r="AH5" s="103"/>
      <c r="AI5" s="101"/>
      <c r="AJ5" s="102"/>
      <c r="AK5" s="103"/>
      <c r="AL5" s="101"/>
      <c r="AM5" s="104"/>
      <c r="AN5" s="100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4"/>
      <c r="AZ5" s="100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4"/>
      <c r="BX5" s="100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4"/>
      <c r="CJ5" s="100"/>
      <c r="CK5" s="101"/>
      <c r="CL5" s="102"/>
      <c r="CM5" s="103"/>
      <c r="CN5" s="101"/>
      <c r="CO5" s="102"/>
      <c r="CP5" s="103"/>
      <c r="CQ5" s="101"/>
      <c r="CR5" s="102"/>
      <c r="CS5" s="103"/>
      <c r="CT5" s="101"/>
      <c r="CU5" s="104"/>
    </row>
    <row r="6" spans="1:99" ht="19.5" customHeight="1" thickBot="1" x14ac:dyDescent="0.3">
      <c r="B6" s="113"/>
      <c r="C6" s="114">
        <v>3</v>
      </c>
      <c r="D6" s="124"/>
      <c r="E6" s="126"/>
      <c r="F6" s="108"/>
      <c r="G6" s="128"/>
      <c r="H6" s="107"/>
      <c r="I6" s="108"/>
      <c r="J6" s="109"/>
      <c r="K6" s="107"/>
      <c r="L6" s="108"/>
      <c r="M6" s="109"/>
      <c r="N6" s="107"/>
      <c r="O6" s="110"/>
      <c r="P6" s="106"/>
      <c r="Q6" s="107"/>
      <c r="R6" s="108"/>
      <c r="S6" s="109"/>
      <c r="T6" s="107"/>
      <c r="U6" s="108"/>
      <c r="V6" s="109"/>
      <c r="W6" s="107"/>
      <c r="X6" s="108"/>
      <c r="Y6" s="109"/>
      <c r="Z6" s="107"/>
      <c r="AA6" s="110"/>
      <c r="AB6" s="106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10"/>
      <c r="AN6" s="106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10"/>
      <c r="AZ6" s="106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10"/>
      <c r="BL6" s="106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10"/>
      <c r="BX6" s="106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10"/>
      <c r="CJ6" s="106"/>
      <c r="CK6" s="107"/>
      <c r="CL6" s="108"/>
      <c r="CM6" s="109"/>
      <c r="CN6" s="107"/>
      <c r="CO6" s="108"/>
      <c r="CP6" s="109"/>
      <c r="CQ6" s="107"/>
      <c r="CR6" s="108"/>
      <c r="CS6" s="109"/>
      <c r="CT6" s="107"/>
      <c r="CU6" s="110"/>
    </row>
    <row r="7" spans="1:99" ht="19.5" customHeight="1" x14ac:dyDescent="0.25">
      <c r="B7" s="115" t="str">
        <f>Donnees!$C$22</f>
        <v>Rapport</v>
      </c>
      <c r="C7" s="112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4"/>
      <c r="P7" s="100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4"/>
      <c r="AB7" s="100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4"/>
      <c r="AN7" s="100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4"/>
      <c r="AZ7" s="100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4"/>
      <c r="BX7" s="100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4"/>
      <c r="CJ7" s="100"/>
      <c r="CK7" s="101"/>
      <c r="CL7" s="102"/>
      <c r="CM7" s="103"/>
      <c r="CN7" s="101"/>
      <c r="CO7" s="102"/>
      <c r="CP7" s="103"/>
      <c r="CQ7" s="101"/>
      <c r="CR7" s="102"/>
      <c r="CS7" s="103"/>
      <c r="CT7" s="101"/>
      <c r="CU7" s="104"/>
    </row>
    <row r="8" spans="1:99" ht="19.5" customHeight="1" thickBot="1" x14ac:dyDescent="0.3">
      <c r="B8" s="113"/>
      <c r="C8" s="114">
        <v>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10"/>
      <c r="P8" s="106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10"/>
      <c r="AB8" s="106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10"/>
      <c r="AN8" s="106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10"/>
      <c r="AZ8" s="106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10"/>
      <c r="BL8" s="106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10"/>
      <c r="BX8" s="106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10"/>
      <c r="CJ8" s="106"/>
      <c r="CK8" s="107"/>
      <c r="CL8" s="108"/>
      <c r="CM8" s="109"/>
      <c r="CN8" s="107"/>
      <c r="CO8" s="108"/>
      <c r="CP8" s="109"/>
      <c r="CQ8" s="107"/>
      <c r="CR8" s="108"/>
      <c r="CS8" s="109"/>
      <c r="CT8" s="107"/>
      <c r="CU8" s="110"/>
    </row>
    <row r="9" spans="1:99" ht="19.5" customHeight="1" x14ac:dyDescent="0.25">
      <c r="B9" s="115" t="str">
        <f>Donnees!$C$23</f>
        <v>Codage</v>
      </c>
      <c r="C9" s="112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4"/>
      <c r="P9" s="100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4"/>
      <c r="AB9" s="100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4"/>
      <c r="AN9" s="100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4"/>
      <c r="AZ9" s="100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4"/>
      <c r="BX9" s="100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4"/>
      <c r="CJ9" s="100"/>
      <c r="CK9" s="101"/>
      <c r="CL9" s="102"/>
      <c r="CM9" s="103"/>
      <c r="CN9" s="101"/>
      <c r="CO9" s="102"/>
      <c r="CP9" s="103"/>
      <c r="CQ9" s="101"/>
      <c r="CR9" s="102"/>
      <c r="CS9" s="103"/>
      <c r="CT9" s="101"/>
      <c r="CU9" s="104"/>
    </row>
    <row r="10" spans="1:99" ht="19.5" customHeight="1" thickBot="1" x14ac:dyDescent="0.3">
      <c r="B10" s="113"/>
      <c r="C10" s="114">
        <v>0</v>
      </c>
      <c r="D10" s="106"/>
      <c r="E10" s="107"/>
      <c r="F10" s="108"/>
      <c r="G10" s="109"/>
      <c r="H10" s="107"/>
      <c r="I10" s="108"/>
      <c r="J10" s="109"/>
      <c r="K10" s="107"/>
      <c r="L10" s="108"/>
      <c r="M10" s="109"/>
      <c r="N10" s="107"/>
      <c r="O10" s="110"/>
      <c r="P10" s="106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10"/>
      <c r="AB10" s="106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10"/>
      <c r="AN10" s="106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10"/>
      <c r="AZ10" s="106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10"/>
      <c r="BL10" s="106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10"/>
      <c r="BX10" s="106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10"/>
      <c r="CJ10" s="106"/>
      <c r="CK10" s="107"/>
      <c r="CL10" s="108"/>
      <c r="CM10" s="109"/>
      <c r="CN10" s="107"/>
      <c r="CO10" s="108"/>
      <c r="CP10" s="109"/>
      <c r="CQ10" s="107"/>
      <c r="CR10" s="108"/>
      <c r="CS10" s="109"/>
      <c r="CT10" s="107"/>
      <c r="CU10" s="110"/>
    </row>
    <row r="11" spans="1:99" ht="19.5" customHeight="1" x14ac:dyDescent="0.25">
      <c r="B11" s="115" t="str">
        <f>Donnees!$C$24</f>
        <v>Séance</v>
      </c>
      <c r="C11" s="112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4"/>
      <c r="P11" s="100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4"/>
      <c r="AB11" s="100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4"/>
      <c r="AN11" s="100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4"/>
      <c r="AZ11" s="100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4"/>
      <c r="BX11" s="100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4"/>
      <c r="CJ11" s="100"/>
      <c r="CK11" s="101"/>
      <c r="CL11" s="102"/>
      <c r="CM11" s="103"/>
      <c r="CN11" s="101"/>
      <c r="CO11" s="102"/>
      <c r="CP11" s="103"/>
      <c r="CQ11" s="101"/>
      <c r="CR11" s="102"/>
      <c r="CS11" s="103"/>
      <c r="CT11" s="101"/>
      <c r="CU11" s="104"/>
    </row>
    <row r="12" spans="1:99" ht="19.5" customHeight="1" thickBot="1" x14ac:dyDescent="0.3">
      <c r="B12" s="113"/>
      <c r="C12" s="114">
        <v>2</v>
      </c>
      <c r="D12" s="106"/>
      <c r="E12" s="107"/>
      <c r="F12" s="127"/>
      <c r="G12" s="109"/>
      <c r="H12" s="126"/>
      <c r="I12" s="108"/>
      <c r="J12" s="109"/>
      <c r="K12" s="107"/>
      <c r="L12" s="108"/>
      <c r="M12" s="109"/>
      <c r="N12" s="107"/>
      <c r="O12" s="110"/>
      <c r="P12" s="106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10"/>
      <c r="AB12" s="106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10"/>
      <c r="AN12" s="106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10"/>
      <c r="AZ12" s="106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10"/>
      <c r="BL12" s="106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10"/>
      <c r="BX12" s="106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10"/>
      <c r="CJ12" s="106"/>
      <c r="CK12" s="107"/>
      <c r="CL12" s="108"/>
      <c r="CM12" s="109"/>
      <c r="CN12" s="107"/>
      <c r="CO12" s="108"/>
      <c r="CP12" s="109"/>
      <c r="CQ12" s="107"/>
      <c r="CR12" s="108"/>
      <c r="CS12" s="109"/>
      <c r="CT12" s="107"/>
      <c r="CU12" s="110"/>
    </row>
    <row r="13" spans="1:99" ht="19.5" customHeight="1" x14ac:dyDescent="0.25">
      <c r="B13" s="115" t="str">
        <f>Donnees!$C$25</f>
        <v>Sprint review</v>
      </c>
      <c r="C13" s="112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4"/>
      <c r="P13" s="100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4"/>
      <c r="AB13" s="100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4"/>
      <c r="AN13" s="100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4"/>
      <c r="AZ13" s="100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4"/>
      <c r="BX13" s="100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4"/>
      <c r="CJ13" s="100"/>
      <c r="CK13" s="101"/>
      <c r="CL13" s="102"/>
      <c r="CM13" s="103"/>
      <c r="CN13" s="101"/>
      <c r="CO13" s="102"/>
      <c r="CP13" s="103"/>
      <c r="CQ13" s="101"/>
      <c r="CR13" s="102"/>
      <c r="CS13" s="103"/>
      <c r="CT13" s="101"/>
      <c r="CU13" s="104"/>
    </row>
    <row r="14" spans="1:99" ht="19.5" customHeight="1" thickBot="1" x14ac:dyDescent="0.3">
      <c r="B14" s="113"/>
      <c r="C14" s="114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10"/>
      <c r="P14" s="106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10"/>
      <c r="AB14" s="106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10"/>
      <c r="AN14" s="106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10"/>
      <c r="AZ14" s="106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10"/>
      <c r="BL14" s="106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10"/>
      <c r="BX14" s="106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10"/>
      <c r="CJ14" s="106"/>
      <c r="CK14" s="107"/>
      <c r="CL14" s="108"/>
      <c r="CM14" s="109"/>
      <c r="CN14" s="107"/>
      <c r="CO14" s="108"/>
      <c r="CP14" s="109"/>
      <c r="CQ14" s="107"/>
      <c r="CR14" s="108"/>
      <c r="CS14" s="109"/>
      <c r="CT14" s="107"/>
      <c r="CU14" s="110"/>
    </row>
    <row r="15" spans="1:99" ht="19.5" customHeight="1" x14ac:dyDescent="0.25">
      <c r="B15" s="115" t="str">
        <f>Donnees!$C$26</f>
        <v>Test</v>
      </c>
      <c r="C15" s="112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4"/>
      <c r="P15" s="100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4"/>
      <c r="AB15" s="100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4"/>
      <c r="AN15" s="100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4"/>
      <c r="AZ15" s="100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4"/>
      <c r="BX15" s="100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4"/>
      <c r="CJ15" s="100"/>
      <c r="CK15" s="101"/>
      <c r="CL15" s="102"/>
      <c r="CM15" s="103"/>
      <c r="CN15" s="101"/>
      <c r="CO15" s="102"/>
      <c r="CP15" s="103"/>
      <c r="CQ15" s="101"/>
      <c r="CR15" s="102"/>
      <c r="CS15" s="103"/>
      <c r="CT15" s="101"/>
      <c r="CU15" s="104"/>
    </row>
    <row r="16" spans="1:99" ht="19.5" customHeight="1" thickBot="1" x14ac:dyDescent="0.3">
      <c r="A16" s="116"/>
      <c r="B16" s="113"/>
      <c r="C16" s="114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10"/>
      <c r="P16" s="106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10"/>
      <c r="AB16" s="106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10"/>
      <c r="AN16" s="106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10"/>
      <c r="AZ16" s="106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10"/>
      <c r="BL16" s="106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10"/>
      <c r="BX16" s="106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10"/>
      <c r="CJ16" s="106"/>
      <c r="CK16" s="107"/>
      <c r="CL16" s="108"/>
      <c r="CM16" s="109"/>
      <c r="CN16" s="107"/>
      <c r="CO16" s="108"/>
      <c r="CP16" s="109"/>
      <c r="CQ16" s="107"/>
      <c r="CR16" s="108"/>
      <c r="CS16" s="109"/>
      <c r="CT16" s="107"/>
      <c r="CU16" s="110"/>
    </row>
    <row r="17" spans="2:99" ht="19.5" customHeight="1" x14ac:dyDescent="0.25">
      <c r="B17" s="115" t="str">
        <f>Donnees!$C$27</f>
        <v>Aide au groupe</v>
      </c>
      <c r="C17" s="112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4"/>
      <c r="P17" s="100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4"/>
      <c r="AB17" s="100"/>
      <c r="AC17" s="101"/>
      <c r="AD17" s="102"/>
      <c r="AE17" s="103"/>
      <c r="AF17" s="101"/>
      <c r="AG17" s="102"/>
      <c r="AH17" s="103"/>
      <c r="AI17" s="101"/>
      <c r="AJ17" s="102"/>
      <c r="AK17" s="103"/>
      <c r="AL17" s="101"/>
      <c r="AM17" s="104"/>
      <c r="AN17" s="100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4"/>
      <c r="AZ17" s="100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4"/>
      <c r="BX17" s="100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4"/>
      <c r="CJ17" s="100"/>
      <c r="CK17" s="101"/>
      <c r="CL17" s="102"/>
      <c r="CM17" s="103"/>
      <c r="CN17" s="101"/>
      <c r="CO17" s="102"/>
      <c r="CP17" s="103"/>
      <c r="CQ17" s="101"/>
      <c r="CR17" s="102"/>
      <c r="CS17" s="103"/>
      <c r="CT17" s="101"/>
      <c r="CU17" s="104"/>
    </row>
    <row r="18" spans="2:99" ht="19.5" customHeight="1" x14ac:dyDescent="0.25">
      <c r="B18" s="113"/>
      <c r="C18" s="114">
        <v>0</v>
      </c>
      <c r="D18" s="106"/>
      <c r="E18" s="107"/>
      <c r="F18" s="108"/>
      <c r="G18" s="109"/>
      <c r="H18" s="107"/>
      <c r="I18" s="108"/>
      <c r="J18" s="109"/>
      <c r="K18" s="107"/>
      <c r="L18" s="108"/>
      <c r="M18" s="109"/>
      <c r="N18" s="107"/>
      <c r="O18" s="110"/>
      <c r="P18" s="106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10"/>
      <c r="AB18" s="106"/>
      <c r="AC18" s="107"/>
      <c r="AD18" s="108"/>
      <c r="AE18" s="109"/>
      <c r="AF18" s="107"/>
      <c r="AG18" s="108"/>
      <c r="AH18" s="109"/>
      <c r="AI18" s="107"/>
      <c r="AJ18" s="108"/>
      <c r="AK18" s="109"/>
      <c r="AL18" s="107"/>
      <c r="AM18" s="110"/>
      <c r="AN18" s="106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10"/>
      <c r="AZ18" s="106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10"/>
      <c r="BL18" s="106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10"/>
      <c r="BX18" s="106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10"/>
      <c r="CJ18" s="106"/>
      <c r="CK18" s="107"/>
      <c r="CL18" s="108"/>
      <c r="CM18" s="109"/>
      <c r="CN18" s="107"/>
      <c r="CO18" s="108"/>
      <c r="CP18" s="109"/>
      <c r="CQ18" s="107"/>
      <c r="CR18" s="108"/>
      <c r="CS18" s="109"/>
      <c r="CT18" s="107"/>
      <c r="CU18" s="110"/>
    </row>
    <row r="19" spans="2:99" ht="19.5" customHeight="1" x14ac:dyDescent="0.25">
      <c r="B19" s="25" t="s">
        <v>16</v>
      </c>
      <c r="C19" s="27">
        <f>SUM($C$3,$C$5,$C$7,$C$9,$C$11,$C$13,$C$15,$C$17)</f>
        <v>0</v>
      </c>
      <c r="D19" s="117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9"/>
      <c r="P19" s="117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9"/>
      <c r="AB19" s="117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9"/>
      <c r="AN19" s="117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9"/>
      <c r="AZ19" s="117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  <c r="BK19" s="119"/>
      <c r="BL19" s="117"/>
      <c r="BM19" s="118"/>
      <c r="BN19" s="118"/>
      <c r="BO19" s="118"/>
      <c r="BP19" s="118"/>
      <c r="BQ19" s="118"/>
      <c r="BR19" s="118"/>
      <c r="BS19" s="118"/>
      <c r="BT19" s="118"/>
      <c r="BU19" s="118"/>
      <c r="BV19" s="118"/>
      <c r="BW19" s="119"/>
      <c r="BX19" s="117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9"/>
      <c r="CJ19" s="117"/>
      <c r="CK19" s="118"/>
      <c r="CL19" s="118"/>
      <c r="CM19" s="118"/>
      <c r="CN19" s="118"/>
      <c r="CO19" s="118"/>
      <c r="CP19" s="118"/>
      <c r="CQ19" s="118"/>
      <c r="CR19" s="118"/>
      <c r="CS19" s="118"/>
      <c r="CT19" s="118"/>
      <c r="CU19" s="119"/>
    </row>
    <row r="20" spans="2:99" ht="19.5" customHeight="1" thickBot="1" x14ac:dyDescent="0.3">
      <c r="B20" s="26" t="s">
        <v>17</v>
      </c>
      <c r="C20" s="28">
        <f>SUM($C$4,$C$6,$C$8,$C$10,$C$12,$C$14,$C$16,$C$18)</f>
        <v>5</v>
      </c>
      <c r="D20" s="120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2"/>
      <c r="P20" s="120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2"/>
      <c r="AB20" s="120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2"/>
      <c r="AN20" s="120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2"/>
      <c r="AZ20" s="120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2"/>
      <c r="BL20" s="120"/>
      <c r="BM20" s="121"/>
      <c r="BN20" s="121"/>
      <c r="BO20" s="121"/>
      <c r="BP20" s="121"/>
      <c r="BQ20" s="121"/>
      <c r="BR20" s="121"/>
      <c r="BS20" s="121"/>
      <c r="BT20" s="121"/>
      <c r="BU20" s="121"/>
      <c r="BV20" s="121"/>
      <c r="BW20" s="122"/>
      <c r="BX20" s="120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2"/>
      <c r="CJ20" s="120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2"/>
    </row>
  </sheetData>
  <sheetProtection sheet="1" objects="1" scenarios="1" insertRows="0" selectLockedCells="1"/>
  <mergeCells count="16">
    <mergeCell ref="AZ2:BK2"/>
    <mergeCell ref="BL2:BW2"/>
    <mergeCell ref="BX2:CI2"/>
    <mergeCell ref="CJ2:CU2"/>
    <mergeCell ref="B15:B16"/>
    <mergeCell ref="B17:B18"/>
    <mergeCell ref="D2:O2"/>
    <mergeCell ref="P2:AA2"/>
    <mergeCell ref="AB2:AM2"/>
    <mergeCell ref="AN2:AY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29F6BECF-EE22-44E1-A9CA-2D1E00B494A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93C36-23FF-4F12-B52D-F3BA2698A098}">
  <sheetPr codeName="Feuil9"/>
  <dimension ref="A1:I153"/>
  <sheetViews>
    <sheetView tabSelected="1" zoomScale="115" zoomScaleNormal="115" workbookViewId="0">
      <selection activeCell="B13" sqref="B1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45397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2</v>
      </c>
      <c r="C3" s="123" t="s">
        <v>45</v>
      </c>
      <c r="D3" s="9"/>
    </row>
    <row r="4" spans="1:4" s="53" customFormat="1" x14ac:dyDescent="0.25">
      <c r="A4" s="1" t="s">
        <v>32</v>
      </c>
      <c r="B4" s="2">
        <v>1</v>
      </c>
      <c r="C4" s="125" t="s">
        <v>46</v>
      </c>
      <c r="D4" s="10"/>
    </row>
    <row r="5" spans="1:4" s="53" customFormat="1" x14ac:dyDescent="0.25">
      <c r="A5" s="1" t="s">
        <v>47</v>
      </c>
      <c r="B5" s="2">
        <v>5</v>
      </c>
      <c r="C5" s="125" t="s">
        <v>48</v>
      </c>
      <c r="D5" s="10"/>
    </row>
    <row r="6" spans="1:4" s="53" customFormat="1" x14ac:dyDescent="0.25">
      <c r="A6" s="1" t="s">
        <v>34</v>
      </c>
      <c r="B6" s="2">
        <v>2</v>
      </c>
      <c r="C6" s="125" t="s">
        <v>49</v>
      </c>
      <c r="D6" s="10"/>
    </row>
    <row r="7" spans="1:4" s="53" customFormat="1" x14ac:dyDescent="0.25">
      <c r="A7" s="1" t="s">
        <v>36</v>
      </c>
      <c r="B7" s="2">
        <v>1</v>
      </c>
      <c r="C7" s="125" t="s">
        <v>50</v>
      </c>
      <c r="D7" s="10"/>
    </row>
    <row r="8" spans="1:4" s="53" customFormat="1" x14ac:dyDescent="0.25">
      <c r="A8" s="1" t="s">
        <v>28</v>
      </c>
      <c r="B8" s="2">
        <v>1</v>
      </c>
      <c r="C8" s="125" t="s">
        <v>51</v>
      </c>
      <c r="D8" s="10"/>
    </row>
    <row r="9" spans="1:4" s="53" customFormat="1" x14ac:dyDescent="0.25">
      <c r="A9" s="1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45404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1" t="s">
        <v>32</v>
      </c>
      <c r="B22" s="2">
        <v>1</v>
      </c>
      <c r="C22" s="125" t="s">
        <v>46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45411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45418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45425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45432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45439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45446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20DB6BB-A289-4266-A57E-67211044B9E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41:B55 B60:B74 B79:B93 B98:B112 B117:B131 B22:B36 B3:B8 B10:B17" xr:uid="{02031DA2-01E3-4C92-8F71-DEF68C6BBD3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7133C85-EFA7-46FE-BEB0-3A72105B21D6}">
      <formula1>0</formula1>
      <formula2>NbPerWeek * NbQuartPer</formula2>
    </dataValidation>
    <dataValidation type="list" allowBlank="1" showInputMessage="1" showErrorMessage="1" sqref="A3:A17 A136:A150 A41:A55 A60:A74 A79:A93 A98:A112 A117:A131 A22:A36" xr:uid="{7737E675-0BC6-4001-8159-CC8316ABD00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8fa7ed2e04961ae3b0ef3c3cf8595cf5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a91d8ee3cb7f17ddb8c04a61a52173c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441ee10f-25ae-4214-91a2-1e7959b62543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e0d3259-a7ce-4623-88ec-81594dfcbc1c" xsi:nil="true"/>
    <lcf76f155ced4ddcb4097134ff3c332f xmlns="99ffe1f3-7857-457f-add0-5bdef636f38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C4ADE97-42AB-457A-ACA1-88F32EC6647E}"/>
</file>

<file path=customXml/itemProps2.xml><?xml version="1.0" encoding="utf-8"?>
<ds:datastoreItem xmlns:ds="http://schemas.openxmlformats.org/officeDocument/2006/customXml" ds:itemID="{FDA633FC-828D-4A39-B117-1E45426A2874}"/>
</file>

<file path=customXml/itemProps3.xml><?xml version="1.0" encoding="utf-8"?>
<ds:datastoreItem xmlns:ds="http://schemas.openxmlformats.org/officeDocument/2006/customXml" ds:itemID="{8AA8C093-1B4A-4748-AFA5-685E4F6082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Mateo Thode</dc:creator>
  <cp:lastModifiedBy>Mateo Thode</cp:lastModifiedBy>
  <cp:lastPrinted>2013-08-29T11:33:15Z</cp:lastPrinted>
  <dcterms:created xsi:type="dcterms:W3CDTF">1996-10-21T11:03:58Z</dcterms:created>
  <dcterms:modified xsi:type="dcterms:W3CDTF">2024-04-15T13:26:50Z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